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vorarlberg-my.sharepoint.com/personal/mge9869_students_fhv_at/Documents/Elektro/Schaltungsanalyse/"/>
    </mc:Choice>
  </mc:AlternateContent>
  <xr:revisionPtr revIDLastSave="75" documentId="8_{9C9FFCAC-97CF-41BA-98DA-7882520E67F8}" xr6:coauthVersionLast="47" xr6:coauthVersionMax="47" xr10:uidLastSave="{459DB613-6BD6-4695-84CC-0E520D81E658}"/>
  <bookViews>
    <workbookView xWindow="-108" yWindow="-108" windowWidth="23256" windowHeight="12456" xr2:uid="{93B88157-9513-4B6D-887E-2FBAC485FB5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1" i="1" l="1"/>
  <c r="J10" i="1"/>
  <c r="J11" i="1"/>
  <c r="J12" i="1"/>
  <c r="J13" i="1"/>
  <c r="J14" i="1"/>
  <c r="J15" i="1"/>
  <c r="J16" i="1"/>
  <c r="J17" i="1"/>
  <c r="J18" i="1"/>
  <c r="J19" i="1"/>
  <c r="J20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9" i="1"/>
  <c r="G10" i="1"/>
  <c r="G11" i="1"/>
  <c r="G12" i="1"/>
  <c r="G13" i="1"/>
  <c r="G14" i="1"/>
  <c r="G15" i="1"/>
  <c r="G16" i="1"/>
  <c r="G17" i="1"/>
  <c r="G18" i="1"/>
  <c r="G19" i="1"/>
  <c r="G20" i="1"/>
  <c r="G21" i="1"/>
  <c r="H10" i="1"/>
  <c r="H11" i="1"/>
  <c r="H12" i="1"/>
  <c r="H13" i="1"/>
  <c r="H14" i="1"/>
  <c r="H15" i="1"/>
  <c r="H16" i="1"/>
  <c r="H17" i="1"/>
  <c r="H18" i="1"/>
  <c r="H19" i="1"/>
  <c r="H20" i="1"/>
  <c r="H21" i="1"/>
  <c r="H9" i="1"/>
  <c r="G9" i="1"/>
  <c r="F10" i="1"/>
  <c r="F11" i="1"/>
  <c r="F12" i="1"/>
  <c r="F13" i="1"/>
  <c r="F14" i="1"/>
  <c r="F15" i="1"/>
  <c r="F16" i="1"/>
  <c r="F17" i="1"/>
  <c r="F18" i="1"/>
  <c r="F19" i="1"/>
  <c r="F20" i="1"/>
  <c r="F21" i="1"/>
  <c r="F9" i="1"/>
  <c r="E10" i="1"/>
  <c r="E11" i="1"/>
  <c r="E12" i="1"/>
  <c r="E13" i="1"/>
  <c r="E14" i="1"/>
  <c r="E15" i="1"/>
  <c r="E16" i="1"/>
  <c r="E17" i="1"/>
  <c r="E18" i="1"/>
  <c r="E19" i="1"/>
  <c r="E20" i="1"/>
  <c r="E21" i="1"/>
  <c r="E9" i="1"/>
  <c r="D10" i="1"/>
  <c r="D11" i="1"/>
  <c r="D12" i="1"/>
  <c r="D13" i="1"/>
  <c r="D14" i="1"/>
  <c r="D15" i="1"/>
  <c r="D16" i="1"/>
  <c r="D17" i="1"/>
  <c r="D18" i="1"/>
  <c r="D19" i="1"/>
  <c r="D20" i="1"/>
  <c r="D21" i="1"/>
  <c r="D9" i="1"/>
  <c r="C10" i="1"/>
  <c r="C11" i="1"/>
  <c r="C12" i="1"/>
  <c r="C13" i="1"/>
  <c r="C14" i="1"/>
  <c r="C15" i="1"/>
  <c r="C16" i="1"/>
  <c r="C17" i="1"/>
  <c r="C18" i="1"/>
  <c r="C19" i="1"/>
  <c r="C20" i="1"/>
  <c r="C21" i="1"/>
  <c r="C9" i="1"/>
</calcChain>
</file>

<file path=xl/sharedStrings.xml><?xml version="1.0" encoding="utf-8"?>
<sst xmlns="http://schemas.openxmlformats.org/spreadsheetml/2006/main" count="17" uniqueCount="12">
  <si>
    <t>ORTSKURVEN</t>
  </si>
  <si>
    <t>R</t>
  </si>
  <si>
    <t xml:space="preserve">L </t>
  </si>
  <si>
    <t>C</t>
  </si>
  <si>
    <t>w</t>
  </si>
  <si>
    <t xml:space="preserve">Re </t>
  </si>
  <si>
    <t>Im</t>
  </si>
  <si>
    <t>Z_(R+L)</t>
  </si>
  <si>
    <t>Y_(R+L)</t>
  </si>
  <si>
    <t>Re</t>
  </si>
  <si>
    <t>Y_ges</t>
  </si>
  <si>
    <t>Z_ges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</si>
</sst>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11" fontId="0" fillId="0" borderId="3" xfId="0" applyNumberFormat="1" applyBorder="1"/>
    <xf numFmtId="11" fontId="0" fillId="0" borderId="5" xfId="0" applyNumberFormat="1" applyBorder="1"/>
    <xf numFmtId="0" fontId="0" fillId="0" borderId="3" xfId="0" applyFill="1" applyBorder="1"/>
    <xf numFmtId="0" fontId="0" fillId="0" borderId="4" xfId="0" applyFill="1" applyBorder="1"/>
    <xf numFmtId="11" fontId="0" fillId="0" borderId="4" xfId="0" applyNumberFormat="1" applyBorder="1"/>
    <xf numFmtId="11" fontId="0" fillId="0" borderId="6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Ortskurve Y_(R+L)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Tabelle1!$E$9:$E$21</c:f>
              <c:numCache>
                <c:formatCode>0.00E+00</c:formatCode>
                <c:ptCount val="13"/>
                <c:pt idx="0">
                  <c:v>0.01</c:v>
                </c:pt>
                <c:pt idx="1">
                  <c:v>9.9999999977499997E-3</c:v>
                </c:pt>
                <c:pt idx="2">
                  <c:v>9.9999775000506261E-3</c:v>
                </c:pt>
                <c:pt idx="3">
                  <c:v>9.9999100008099917E-3</c:v>
                </c:pt>
                <c:pt idx="4">
                  <c:v>9.9994375316388457E-3</c:v>
                </c:pt>
                <c:pt idx="5">
                  <c:v>9.9977505061361188E-3</c:v>
                </c:pt>
                <c:pt idx="6">
                  <c:v>9.7799511002444987E-3</c:v>
                </c:pt>
                <c:pt idx="7">
                  <c:v>9.1743119266055051E-3</c:v>
                </c:pt>
                <c:pt idx="8">
                  <c:v>6.4000000000000003E-3</c:v>
                </c:pt>
                <c:pt idx="9">
                  <c:v>3.0769230769230769E-3</c:v>
                </c:pt>
                <c:pt idx="10">
                  <c:v>1E-3</c:v>
                </c:pt>
                <c:pt idx="11">
                  <c:v>1.7467248908296942E-4</c:v>
                </c:pt>
                <c:pt idx="12">
                  <c:v>4.424778761061947E-5</c:v>
                </c:pt>
              </c:numCache>
            </c:numRef>
          </c:xVal>
          <c:yVal>
            <c:numRef>
              <c:f>Tabelle1!$F$9:$F$21</c:f>
              <c:numCache>
                <c:formatCode>0.00E+00</c:formatCode>
                <c:ptCount val="13"/>
                <c:pt idx="0">
                  <c:v>0</c:v>
                </c:pt>
                <c:pt idx="1">
                  <c:v>-1.4999999996624999E-7</c:v>
                </c:pt>
                <c:pt idx="2">
                  <c:v>-1.4999966250075938E-5</c:v>
                </c:pt>
                <c:pt idx="3">
                  <c:v>-2.9999730002429977E-5</c:v>
                </c:pt>
                <c:pt idx="4">
                  <c:v>-7.4995781487291338E-5</c:v>
                </c:pt>
                <c:pt idx="5">
                  <c:v>-1.4996625759204179E-4</c:v>
                </c:pt>
                <c:pt idx="6">
                  <c:v>-1.4669926650366749E-3</c:v>
                </c:pt>
                <c:pt idx="7">
                  <c:v>-2.7522935779816515E-3</c:v>
                </c:pt>
                <c:pt idx="8">
                  <c:v>-4.7999999999999996E-3</c:v>
                </c:pt>
                <c:pt idx="9">
                  <c:v>-4.6153846153846158E-3</c:v>
                </c:pt>
                <c:pt idx="10">
                  <c:v>-3.0000000000000001E-3</c:v>
                </c:pt>
                <c:pt idx="11">
                  <c:v>-1.3100436681222707E-3</c:v>
                </c:pt>
                <c:pt idx="12">
                  <c:v>-6.6371681415929203E-4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DC-4D83-AC4B-65714262D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227008"/>
        <c:axId val="1956573888"/>
      </c:scatterChart>
      <c:valAx>
        <c:axId val="195322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56573888"/>
        <c:crosses val="autoZero"/>
        <c:crossBetween val="midCat"/>
      </c:valAx>
      <c:valAx>
        <c:axId val="195657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5322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525780</xdr:colOff>
      <xdr:row>5</xdr:row>
      <xdr:rowOff>45720</xdr:rowOff>
    </xdr:from>
    <xdr:to>
      <xdr:col>17</xdr:col>
      <xdr:colOff>342900</xdr:colOff>
      <xdr:row>20</xdr:row>
      <xdr:rowOff>45720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BFF2CCC-7EAE-5B26-0AAF-2E63D21DC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0490-3320-4D22-ADF1-75CDA928E7C1}">
  <dimension ref="A1:J21"/>
  <sheetViews>
    <sheetView tabSelected="1" topLeftCell="A5" workbookViewId="0">
      <selection activeCell="B12" sqref="B12"/>
    </sheetView>
  </sheetViews>
  <sheetFormatPr baseColWidth="10" defaultRowHeight="14.4" x14ac:dyDescent="0.3"/>
  <cols>
    <col min="3" max="3" width="11.5546875" customWidth="1"/>
  </cols>
  <sheetData>
    <row r="1" spans="1:10" x14ac:dyDescent="0.3">
      <c r="A1" s="1" t="s">
        <v>0</v>
      </c>
      <c r="B1" s="1"/>
      <c r="C1" s="1"/>
      <c r="D1" s="1"/>
      <c r="E1" s="1"/>
    </row>
    <row r="3" spans="1:10" x14ac:dyDescent="0.3">
      <c r="A3" t="s">
        <v>1</v>
      </c>
      <c r="B3" s="2">
        <v>100</v>
      </c>
    </row>
    <row r="4" spans="1:10" x14ac:dyDescent="0.3">
      <c r="A4" t="s">
        <v>2</v>
      </c>
      <c r="B4" s="2">
        <v>1.5E-3</v>
      </c>
    </row>
    <row r="5" spans="1:10" x14ac:dyDescent="0.3">
      <c r="A5" t="s">
        <v>3</v>
      </c>
      <c r="B5" s="2">
        <v>1E-4</v>
      </c>
    </row>
    <row r="7" spans="1:10" x14ac:dyDescent="0.3">
      <c r="C7" s="3" t="s">
        <v>7</v>
      </c>
      <c r="D7" s="4"/>
      <c r="E7" s="3" t="s">
        <v>8</v>
      </c>
      <c r="F7" s="4"/>
      <c r="G7" s="3" t="s">
        <v>10</v>
      </c>
      <c r="H7" s="4"/>
      <c r="I7" s="3" t="s">
        <v>11</v>
      </c>
      <c r="J7" s="4"/>
    </row>
    <row r="8" spans="1:10" x14ac:dyDescent="0.3">
      <c r="B8" t="s">
        <v>4</v>
      </c>
      <c r="C8" s="5" t="s">
        <v>5</v>
      </c>
      <c r="D8" s="6" t="s">
        <v>6</v>
      </c>
      <c r="E8" s="5" t="s">
        <v>9</v>
      </c>
      <c r="F8" s="6" t="s">
        <v>6</v>
      </c>
      <c r="G8" s="9" t="s">
        <v>9</v>
      </c>
      <c r="H8" s="10" t="s">
        <v>6</v>
      </c>
      <c r="I8" s="5" t="s">
        <v>9</v>
      </c>
      <c r="J8" s="6" t="s">
        <v>6</v>
      </c>
    </row>
    <row r="9" spans="1:10" x14ac:dyDescent="0.3">
      <c r="B9">
        <v>0</v>
      </c>
      <c r="C9" s="7">
        <f>$B$3</f>
        <v>100</v>
      </c>
      <c r="D9" s="11">
        <f>$B9*$B$4</f>
        <v>0</v>
      </c>
      <c r="E9" s="7">
        <f>C9/(C9^2+D9^2)</f>
        <v>0.01</v>
      </c>
      <c r="F9" s="11">
        <f>-D9/(C9^2+D9^2)</f>
        <v>0</v>
      </c>
      <c r="G9" s="7">
        <f>E9</f>
        <v>0.01</v>
      </c>
      <c r="H9" s="11">
        <f>F9+(B9*$B$5)</f>
        <v>0</v>
      </c>
      <c r="I9" s="7">
        <f>G9/(G9^2+H9^2)</f>
        <v>100</v>
      </c>
      <c r="J9" s="11">
        <f>-H9/(G9^2+H9^2)</f>
        <v>0</v>
      </c>
    </row>
    <row r="10" spans="1:10" x14ac:dyDescent="0.3">
      <c r="B10">
        <v>1</v>
      </c>
      <c r="C10" s="7">
        <f t="shared" ref="C10:C21" si="0">$B$3</f>
        <v>100</v>
      </c>
      <c r="D10" s="11">
        <f t="shared" ref="D10:D21" si="1">$B10*$B$4</f>
        <v>1.5E-3</v>
      </c>
      <c r="E10" s="7">
        <f t="shared" ref="E10:E21" si="2">C10/(C10^2+D10^2)</f>
        <v>9.9999999977499997E-3</v>
      </c>
      <c r="F10" s="11">
        <f t="shared" ref="F10:F21" si="3">-D10/(C10^2+D10^2)</f>
        <v>-1.4999999996624999E-7</v>
      </c>
      <c r="G10" s="7">
        <f t="shared" ref="G10:G21" si="4">E10</f>
        <v>9.9999999977499997E-3</v>
      </c>
      <c r="H10" s="11">
        <f t="shared" ref="H10:H21" si="5">F10+(B10*$B$5)</f>
        <v>9.985000000003376E-5</v>
      </c>
      <c r="I10" s="7">
        <f t="shared" ref="I10:I21" si="6">G10/(G10^2+H10^2)</f>
        <v>99.990030993907666</v>
      </c>
      <c r="J10" s="11">
        <f t="shared" ref="J10:J20" si="7">-H10/(G10^2+H10^2)</f>
        <v>-0.9984004596991457</v>
      </c>
    </row>
    <row r="11" spans="1:10" x14ac:dyDescent="0.3">
      <c r="B11">
        <v>100</v>
      </c>
      <c r="C11" s="7">
        <f t="shared" si="0"/>
        <v>100</v>
      </c>
      <c r="D11" s="11">
        <f t="shared" si="1"/>
        <v>0.15</v>
      </c>
      <c r="E11" s="7">
        <f t="shared" si="2"/>
        <v>9.9999775000506261E-3</v>
      </c>
      <c r="F11" s="11">
        <f t="shared" si="3"/>
        <v>-1.4999966250075938E-5</v>
      </c>
      <c r="G11" s="7">
        <f t="shared" si="4"/>
        <v>9.9999775000506261E-3</v>
      </c>
      <c r="H11" s="11">
        <f t="shared" si="5"/>
        <v>9.9850000337499238E-3</v>
      </c>
      <c r="I11" s="7">
        <f t="shared" si="6"/>
        <v>50.07505624993663</v>
      </c>
      <c r="J11" s="11">
        <f t="shared" si="7"/>
        <v>-50.000056334438277</v>
      </c>
    </row>
    <row r="12" spans="1:10" x14ac:dyDescent="0.3">
      <c r="B12">
        <v>200</v>
      </c>
      <c r="C12" s="7">
        <f t="shared" si="0"/>
        <v>100</v>
      </c>
      <c r="D12" s="11">
        <f t="shared" si="1"/>
        <v>0.3</v>
      </c>
      <c r="E12" s="7">
        <f t="shared" si="2"/>
        <v>9.9999100008099917E-3</v>
      </c>
      <c r="F12" s="11">
        <f t="shared" si="3"/>
        <v>-2.9999730002429977E-5</v>
      </c>
      <c r="G12" s="7">
        <f t="shared" si="4"/>
        <v>9.9999100008099917E-3</v>
      </c>
      <c r="H12" s="11">
        <f t="shared" si="5"/>
        <v>1.9970000269997571E-2</v>
      </c>
      <c r="I12" s="7">
        <f t="shared" si="6"/>
        <v>20.047970784493135</v>
      </c>
      <c r="J12" s="11">
        <f t="shared" si="7"/>
        <v>-40.036158520106916</v>
      </c>
    </row>
    <row r="13" spans="1:10" x14ac:dyDescent="0.3">
      <c r="B13">
        <v>500</v>
      </c>
      <c r="C13" s="7">
        <f t="shared" si="0"/>
        <v>100</v>
      </c>
      <c r="D13" s="11">
        <f t="shared" si="1"/>
        <v>0.75</v>
      </c>
      <c r="E13" s="7">
        <f t="shared" si="2"/>
        <v>9.9994375316388457E-3</v>
      </c>
      <c r="F13" s="11">
        <f t="shared" si="3"/>
        <v>-7.4995781487291338E-5</v>
      </c>
      <c r="G13" s="7">
        <f t="shared" si="4"/>
        <v>9.9994375316388457E-3</v>
      </c>
      <c r="H13" s="11">
        <f t="shared" si="5"/>
        <v>4.992500421851271E-2</v>
      </c>
      <c r="I13" s="7">
        <f t="shared" si="6"/>
        <v>3.8570713980075815</v>
      </c>
      <c r="J13" s="11">
        <f t="shared" si="7"/>
        <v>-19.25751375588354</v>
      </c>
    </row>
    <row r="14" spans="1:10" x14ac:dyDescent="0.3">
      <c r="B14">
        <v>1000</v>
      </c>
      <c r="C14" s="7">
        <f t="shared" si="0"/>
        <v>100</v>
      </c>
      <c r="D14" s="11">
        <f t="shared" si="1"/>
        <v>1.5</v>
      </c>
      <c r="E14" s="7">
        <f t="shared" si="2"/>
        <v>9.9977505061361188E-3</v>
      </c>
      <c r="F14" s="11">
        <f t="shared" si="3"/>
        <v>-1.4996625759204179E-4</v>
      </c>
      <c r="G14" s="7">
        <f t="shared" si="4"/>
        <v>9.9977505061361188E-3</v>
      </c>
      <c r="H14" s="11">
        <f t="shared" si="5"/>
        <v>9.9850033742407959E-2</v>
      </c>
      <c r="I14" s="7">
        <f t="shared" si="6"/>
        <v>0.99282682618084317</v>
      </c>
      <c r="J14" s="11">
        <f t="shared" si="7"/>
        <v>-9.9156097197746274</v>
      </c>
    </row>
    <row r="15" spans="1:10" x14ac:dyDescent="0.3">
      <c r="B15">
        <v>10000</v>
      </c>
      <c r="C15" s="7">
        <f t="shared" si="0"/>
        <v>100</v>
      </c>
      <c r="D15" s="11">
        <f t="shared" si="1"/>
        <v>15</v>
      </c>
      <c r="E15" s="7">
        <f t="shared" si="2"/>
        <v>9.7799511002444987E-3</v>
      </c>
      <c r="F15" s="11">
        <f t="shared" si="3"/>
        <v>-1.4669926650366749E-3</v>
      </c>
      <c r="G15" s="7">
        <f t="shared" si="4"/>
        <v>9.7799511002444987E-3</v>
      </c>
      <c r="H15" s="11">
        <f t="shared" si="5"/>
        <v>0.99853300733496331</v>
      </c>
      <c r="I15" s="7">
        <f t="shared" si="6"/>
        <v>9.8077677520596318E-3</v>
      </c>
      <c r="J15" s="11">
        <f t="shared" si="7"/>
        <v>-1.0013730874852884</v>
      </c>
    </row>
    <row r="16" spans="1:10" x14ac:dyDescent="0.3">
      <c r="B16">
        <v>20000</v>
      </c>
      <c r="C16" s="7">
        <f t="shared" si="0"/>
        <v>100</v>
      </c>
      <c r="D16" s="11">
        <f t="shared" si="1"/>
        <v>30</v>
      </c>
      <c r="E16" s="7">
        <f t="shared" si="2"/>
        <v>9.1743119266055051E-3</v>
      </c>
      <c r="F16" s="11">
        <f t="shared" si="3"/>
        <v>-2.7522935779816515E-3</v>
      </c>
      <c r="G16" s="7">
        <f t="shared" si="4"/>
        <v>9.1743119266055051E-3</v>
      </c>
      <c r="H16" s="11">
        <f t="shared" si="5"/>
        <v>1.9972477064220184</v>
      </c>
      <c r="I16" s="7">
        <f t="shared" si="6"/>
        <v>2.2998551091281249E-3</v>
      </c>
      <c r="J16" s="11">
        <f t="shared" si="7"/>
        <v>-0.50067845725719273</v>
      </c>
    </row>
    <row r="17" spans="2:10" x14ac:dyDescent="0.3">
      <c r="B17">
        <v>50000</v>
      </c>
      <c r="C17" s="7">
        <f t="shared" si="0"/>
        <v>100</v>
      </c>
      <c r="D17" s="11">
        <f t="shared" si="1"/>
        <v>75</v>
      </c>
      <c r="E17" s="7">
        <f t="shared" si="2"/>
        <v>6.4000000000000003E-3</v>
      </c>
      <c r="F17" s="11">
        <f t="shared" si="3"/>
        <v>-4.7999999999999996E-3</v>
      </c>
      <c r="G17" s="7">
        <f t="shared" si="4"/>
        <v>6.4000000000000003E-3</v>
      </c>
      <c r="H17" s="11">
        <f t="shared" si="5"/>
        <v>4.9951999999999996</v>
      </c>
      <c r="I17" s="7">
        <f t="shared" si="6"/>
        <v>2.5649180765166367E-4</v>
      </c>
      <c r="J17" s="11">
        <f t="shared" si="7"/>
        <v>-0.20019185587212346</v>
      </c>
    </row>
    <row r="18" spans="2:10" x14ac:dyDescent="0.3">
      <c r="B18">
        <v>100000</v>
      </c>
      <c r="C18" s="7">
        <f t="shared" si="0"/>
        <v>100</v>
      </c>
      <c r="D18" s="11">
        <f t="shared" si="1"/>
        <v>150</v>
      </c>
      <c r="E18" s="7">
        <f t="shared" si="2"/>
        <v>3.0769230769230769E-3</v>
      </c>
      <c r="F18" s="11">
        <f t="shared" si="3"/>
        <v>-4.6153846153846158E-3</v>
      </c>
      <c r="G18" s="7">
        <f t="shared" si="4"/>
        <v>3.0769230769230769E-3</v>
      </c>
      <c r="H18" s="11">
        <f t="shared" si="5"/>
        <v>9.9953846153846158</v>
      </c>
      <c r="I18" s="7">
        <f t="shared" si="6"/>
        <v>3.0797649892931967E-5</v>
      </c>
      <c r="J18" s="11">
        <f t="shared" si="7"/>
        <v>-0.10004616567718949</v>
      </c>
    </row>
    <row r="19" spans="2:10" x14ac:dyDescent="0.3">
      <c r="B19">
        <v>200000</v>
      </c>
      <c r="C19" s="7">
        <f t="shared" si="0"/>
        <v>100</v>
      </c>
      <c r="D19" s="11">
        <f t="shared" si="1"/>
        <v>300</v>
      </c>
      <c r="E19" s="7">
        <f t="shared" si="2"/>
        <v>1E-3</v>
      </c>
      <c r="F19" s="11">
        <f t="shared" si="3"/>
        <v>-3.0000000000000001E-3</v>
      </c>
      <c r="G19" s="7">
        <f t="shared" si="4"/>
        <v>1E-3</v>
      </c>
      <c r="H19" s="11">
        <f t="shared" si="5"/>
        <v>19.997</v>
      </c>
      <c r="I19" s="7">
        <f t="shared" si="6"/>
        <v>2.5007501625300051E-6</v>
      </c>
      <c r="J19" s="11">
        <f t="shared" si="7"/>
        <v>-5.000750100011251E-2</v>
      </c>
    </row>
    <row r="20" spans="2:10" x14ac:dyDescent="0.3">
      <c r="B20">
        <v>500000</v>
      </c>
      <c r="C20" s="7">
        <f t="shared" si="0"/>
        <v>100</v>
      </c>
      <c r="D20" s="11">
        <f t="shared" si="1"/>
        <v>750</v>
      </c>
      <c r="E20" s="7">
        <f t="shared" si="2"/>
        <v>1.7467248908296942E-4</v>
      </c>
      <c r="F20" s="11">
        <f t="shared" si="3"/>
        <v>-1.3100436681222707E-3</v>
      </c>
      <c r="G20" s="7">
        <f t="shared" si="4"/>
        <v>1.7467248908296942E-4</v>
      </c>
      <c r="H20" s="11">
        <f t="shared" si="5"/>
        <v>49.99868995633188</v>
      </c>
      <c r="I20" s="7">
        <f t="shared" si="6"/>
        <v>6.9872657033645306E-8</v>
      </c>
      <c r="J20" s="11">
        <f t="shared" si="7"/>
        <v>-2.0000524030953221E-2</v>
      </c>
    </row>
    <row r="21" spans="2:10" x14ac:dyDescent="0.3">
      <c r="B21">
        <v>1000000</v>
      </c>
      <c r="C21" s="8">
        <f t="shared" si="0"/>
        <v>100</v>
      </c>
      <c r="D21" s="12">
        <f t="shared" si="1"/>
        <v>1500</v>
      </c>
      <c r="E21" s="8">
        <f t="shared" si="2"/>
        <v>4.424778761061947E-5</v>
      </c>
      <c r="F21" s="12">
        <f t="shared" si="3"/>
        <v>-6.6371681415929203E-4</v>
      </c>
      <c r="G21" s="8">
        <f t="shared" si="4"/>
        <v>4.424778761061947E-5</v>
      </c>
      <c r="H21" s="12">
        <f t="shared" si="5"/>
        <v>99.999336283185841</v>
      </c>
      <c r="I21" s="8">
        <f t="shared" si="6"/>
        <v>4.4248374976470999E-9</v>
      </c>
      <c r="J21" s="12">
        <f>-H21/(G21^2+H21^2)</f>
        <v>-1.0000066372119981E-2</v>
      </c>
    </row>
  </sheetData>
  <mergeCells count="5">
    <mergeCell ref="A1:E1"/>
    <mergeCell ref="C7:D7"/>
    <mergeCell ref="E7:F7"/>
    <mergeCell ref="G7:H7"/>
    <mergeCell ref="I7:J7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Michael Geuze</cp:lastModifiedBy>
  <dcterms:created xsi:type="dcterms:W3CDTF">2022-05-16T14:13:35Z</dcterms:created>
  <dcterms:modified xsi:type="dcterms:W3CDTF">2022-05-30T12:34:35Z</dcterms:modified>
</cp:coreProperties>
</file>