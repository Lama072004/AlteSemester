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hvorarlberg-my.sharepoint.com/personal/mge9869_students_fhv_at/Documents/Labor Elektrotechnik/Messprotokoll/AktiveBB/"/>
    </mc:Choice>
  </mc:AlternateContent>
  <xr:revisionPtr revIDLastSave="68" documentId="8_{04C063C0-ACA0-4F23-88F0-15E64BEE51ED}" xr6:coauthVersionLast="47" xr6:coauthVersionMax="47" xr10:uidLastSave="{6AE23220-C1B1-424C-BACE-93413001EBC1}"/>
  <bookViews>
    <workbookView xWindow="-120" yWindow="-120" windowWidth="29040" windowHeight="15840" xr2:uid="{493D3D1D-659B-4212-8FCC-CC189AC25A0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1" l="1"/>
  <c r="M4" i="1"/>
  <c r="M3" i="1"/>
  <c r="F3" i="1"/>
  <c r="H4" i="1"/>
  <c r="F10" i="1"/>
  <c r="E10" i="1"/>
  <c r="D10" i="1"/>
  <c r="G10" i="1" s="1"/>
  <c r="C10" i="1"/>
  <c r="B10" i="1"/>
  <c r="G3" i="1"/>
  <c r="C3" i="1"/>
  <c r="G5" i="1"/>
  <c r="F5" i="1"/>
  <c r="C5" i="1"/>
  <c r="G4" i="1"/>
  <c r="F4" i="1"/>
  <c r="C4" i="1"/>
  <c r="F7" i="1"/>
  <c r="F8" i="1"/>
  <c r="F9" i="1"/>
  <c r="F11" i="1"/>
  <c r="F12" i="1"/>
  <c r="F13" i="1"/>
  <c r="F14" i="1"/>
  <c r="F15" i="1"/>
  <c r="F16" i="1"/>
  <c r="F17" i="1"/>
  <c r="F18" i="1"/>
  <c r="F19" i="1"/>
  <c r="F20" i="1"/>
  <c r="F21" i="1"/>
  <c r="G7" i="1"/>
  <c r="G8" i="1"/>
  <c r="G9" i="1"/>
  <c r="G11" i="1"/>
  <c r="G12" i="1"/>
  <c r="G13" i="1"/>
  <c r="G14" i="1"/>
  <c r="G15" i="1"/>
  <c r="G16" i="1"/>
  <c r="G17" i="1"/>
  <c r="G18" i="1"/>
  <c r="G19" i="1"/>
  <c r="G20" i="1"/>
  <c r="G21" i="1"/>
  <c r="G6" i="1"/>
  <c r="F6" i="1"/>
  <c r="C7" i="1"/>
  <c r="C8" i="1"/>
  <c r="C9" i="1"/>
  <c r="C11" i="1"/>
  <c r="C12" i="1"/>
  <c r="C13" i="1"/>
  <c r="C14" i="1"/>
  <c r="C15" i="1"/>
  <c r="C16" i="1"/>
  <c r="C17" i="1"/>
  <c r="C18" i="1"/>
  <c r="C19" i="1"/>
  <c r="C20" i="1"/>
  <c r="C21" i="1"/>
  <c r="C6" i="1"/>
  <c r="H20" i="1" l="1"/>
  <c r="H16" i="1"/>
  <c r="H12" i="1"/>
  <c r="H7" i="1"/>
  <c r="H10" i="1"/>
  <c r="H19" i="1"/>
  <c r="H15" i="1"/>
  <c r="H11" i="1"/>
  <c r="H6" i="1"/>
  <c r="H3" i="1"/>
  <c r="H18" i="1"/>
  <c r="H14" i="1"/>
  <c r="H9" i="1"/>
  <c r="H5" i="1"/>
  <c r="H21" i="1"/>
  <c r="H17" i="1"/>
  <c r="H13" i="1"/>
  <c r="H8" i="1"/>
</calcChain>
</file>

<file path=xl/sharedStrings.xml><?xml version="1.0" encoding="utf-8"?>
<sst xmlns="http://schemas.openxmlformats.org/spreadsheetml/2006/main" count="8" uniqueCount="8">
  <si>
    <t>û SigIn+ [mV]</t>
  </si>
  <si>
    <t>û SigOut+ [mV]</t>
  </si>
  <si>
    <t>f [Hz]</t>
  </si>
  <si>
    <t>Δt [s]</t>
  </si>
  <si>
    <t>Δ Phi [°]</t>
  </si>
  <si>
    <t>Gain [dB]</t>
  </si>
  <si>
    <t xml:space="preserve">Gain </t>
  </si>
  <si>
    <t>Rel Gain zu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</si>
</sst>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1" fillId="0" borderId="0" xfId="0" applyFont="1"/>
    <xf numFmtId="11" fontId="1" fillId="0" borderId="0" xfId="0" applyNumberFormat="1" applyFont="1"/>
    <xf numFmtId="164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Bode-Diagramm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6.683058205891744E-2"/>
          <c:y val="0.15147631307163267"/>
          <c:w val="0.84613136375920661"/>
          <c:h val="0.77573269146691248"/>
        </c:manualLayout>
      </c:layout>
      <c:scatterChart>
        <c:scatterStyle val="lineMarker"/>
        <c:varyColors val="0"/>
        <c:ser>
          <c:idx val="1"/>
          <c:order val="1"/>
          <c:tx>
            <c:v>Verstärkung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Tabelle1!$A$4:$A$20</c:f>
              <c:numCache>
                <c:formatCode>General</c:formatCode>
                <c:ptCount val="17"/>
                <c:pt idx="0">
                  <c:v>0.2</c:v>
                </c:pt>
                <c:pt idx="1">
                  <c:v>10</c:v>
                </c:pt>
                <c:pt idx="2">
                  <c:v>100</c:v>
                </c:pt>
                <c:pt idx="3">
                  <c:v>300</c:v>
                </c:pt>
                <c:pt idx="4">
                  <c:v>700</c:v>
                </c:pt>
                <c:pt idx="5">
                  <c:v>1000</c:v>
                </c:pt>
                <c:pt idx="6">
                  <c:v>1150</c:v>
                </c:pt>
                <c:pt idx="7">
                  <c:v>1300</c:v>
                </c:pt>
                <c:pt idx="8">
                  <c:v>1700</c:v>
                </c:pt>
                <c:pt idx="9">
                  <c:v>2000</c:v>
                </c:pt>
                <c:pt idx="10">
                  <c:v>2500</c:v>
                </c:pt>
                <c:pt idx="11">
                  <c:v>3000</c:v>
                </c:pt>
                <c:pt idx="12">
                  <c:v>4000</c:v>
                </c:pt>
                <c:pt idx="13">
                  <c:v>5000</c:v>
                </c:pt>
                <c:pt idx="14">
                  <c:v>7000</c:v>
                </c:pt>
                <c:pt idx="15">
                  <c:v>9000</c:v>
                </c:pt>
                <c:pt idx="16">
                  <c:v>10000</c:v>
                </c:pt>
              </c:numCache>
            </c:numRef>
          </c:xVal>
          <c:yVal>
            <c:numRef>
              <c:f>Tabelle1!$F$4:$F$20</c:f>
              <c:numCache>
                <c:formatCode>0.000</c:formatCode>
                <c:ptCount val="17"/>
                <c:pt idx="0">
                  <c:v>-17.774920566520333</c:v>
                </c:pt>
                <c:pt idx="1">
                  <c:v>-17.75602201701426</c:v>
                </c:pt>
                <c:pt idx="2">
                  <c:v>-17.835648648699053</c:v>
                </c:pt>
                <c:pt idx="3">
                  <c:v>-17.567223720002687</c:v>
                </c:pt>
                <c:pt idx="4">
                  <c:v>-16.630441325417102</c:v>
                </c:pt>
                <c:pt idx="5">
                  <c:v>-15.024828622196569</c:v>
                </c:pt>
                <c:pt idx="6">
                  <c:v>-14.444579731247746</c:v>
                </c:pt>
                <c:pt idx="7">
                  <c:v>-13.81961940135141</c:v>
                </c:pt>
                <c:pt idx="8">
                  <c:v>-12.190201897295518</c:v>
                </c:pt>
                <c:pt idx="9">
                  <c:v>-11.110640150607891</c:v>
                </c:pt>
                <c:pt idx="10">
                  <c:v>-9.4129127875709369</c:v>
                </c:pt>
                <c:pt idx="11">
                  <c:v>-7.9006698876695305</c:v>
                </c:pt>
                <c:pt idx="12">
                  <c:v>-5.397739057976553</c:v>
                </c:pt>
                <c:pt idx="13">
                  <c:v>-3.3600698098116211</c:v>
                </c:pt>
                <c:pt idx="14">
                  <c:v>4.1706857100767998E-2</c:v>
                </c:pt>
                <c:pt idx="15">
                  <c:v>3.5701341754238207</c:v>
                </c:pt>
                <c:pt idx="16">
                  <c:v>3.7632363084015323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81C-4750-B529-183B85C5F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249295"/>
        <c:axId val="1257247631"/>
      </c:scatterChart>
      <c:scatterChart>
        <c:scatterStyle val="lineMarker"/>
        <c:varyColors val="0"/>
        <c:ser>
          <c:idx val="0"/>
          <c:order val="0"/>
          <c:tx>
            <c:v>Phasengang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Tabelle1!$A$4:$A$20</c:f>
              <c:numCache>
                <c:formatCode>General</c:formatCode>
                <c:ptCount val="17"/>
                <c:pt idx="0">
                  <c:v>0.2</c:v>
                </c:pt>
                <c:pt idx="1">
                  <c:v>10</c:v>
                </c:pt>
                <c:pt idx="2">
                  <c:v>100</c:v>
                </c:pt>
                <c:pt idx="3">
                  <c:v>300</c:v>
                </c:pt>
                <c:pt idx="4">
                  <c:v>700</c:v>
                </c:pt>
                <c:pt idx="5">
                  <c:v>1000</c:v>
                </c:pt>
                <c:pt idx="6">
                  <c:v>1150</c:v>
                </c:pt>
                <c:pt idx="7">
                  <c:v>1300</c:v>
                </c:pt>
                <c:pt idx="8">
                  <c:v>1700</c:v>
                </c:pt>
                <c:pt idx="9">
                  <c:v>2000</c:v>
                </c:pt>
                <c:pt idx="10">
                  <c:v>2500</c:v>
                </c:pt>
                <c:pt idx="11">
                  <c:v>3000</c:v>
                </c:pt>
                <c:pt idx="12">
                  <c:v>4000</c:v>
                </c:pt>
                <c:pt idx="13">
                  <c:v>5000</c:v>
                </c:pt>
                <c:pt idx="14">
                  <c:v>7000</c:v>
                </c:pt>
                <c:pt idx="15">
                  <c:v>9000</c:v>
                </c:pt>
                <c:pt idx="16">
                  <c:v>10000</c:v>
                </c:pt>
              </c:numCache>
            </c:numRef>
          </c:xVal>
          <c:yVal>
            <c:numRef>
              <c:f>Tabelle1!$C$4:$C$20</c:f>
              <c:numCache>
                <c:formatCode>General</c:formatCode>
                <c:ptCount val="17"/>
                <c:pt idx="0">
                  <c:v>-1.7352000000000001</c:v>
                </c:pt>
                <c:pt idx="1">
                  <c:v>-3.1607999999999996</c:v>
                </c:pt>
                <c:pt idx="2">
                  <c:v>-8.2439999999999998</c:v>
                </c:pt>
                <c:pt idx="3">
                  <c:v>-14.364000000000003</c:v>
                </c:pt>
                <c:pt idx="4">
                  <c:v>-35.784000000000006</c:v>
                </c:pt>
                <c:pt idx="5">
                  <c:v>-45.36</c:v>
                </c:pt>
                <c:pt idx="6">
                  <c:v>-49.265999999999998</c:v>
                </c:pt>
                <c:pt idx="7">
                  <c:v>-52.416000000000004</c:v>
                </c:pt>
                <c:pt idx="8">
                  <c:v>-59.975999999999999</c:v>
                </c:pt>
                <c:pt idx="9">
                  <c:v>-63.36</c:v>
                </c:pt>
                <c:pt idx="10">
                  <c:v>-68.400000000000006</c:v>
                </c:pt>
                <c:pt idx="11">
                  <c:v>-74.411999999999992</c:v>
                </c:pt>
                <c:pt idx="12">
                  <c:v>-75.743999999999986</c:v>
                </c:pt>
                <c:pt idx="13">
                  <c:v>-79.02000000000001</c:v>
                </c:pt>
                <c:pt idx="14">
                  <c:v>-89.460000000000008</c:v>
                </c:pt>
                <c:pt idx="15">
                  <c:v>-86.832000000000008</c:v>
                </c:pt>
                <c:pt idx="16">
                  <c:v>-91.08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1C-4750-B529-183B85C5F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7767935"/>
        <c:axId val="1047033295"/>
      </c:scatterChart>
      <c:valAx>
        <c:axId val="1257249295"/>
        <c:scaling>
          <c:logBase val="10"/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Frequenz</a:t>
                </a:r>
                <a:r>
                  <a:rPr lang="de-DE" baseline="0"/>
                  <a:t> [Hz]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57247631"/>
        <c:crosses val="autoZero"/>
        <c:crossBetween val="midCat"/>
      </c:valAx>
      <c:valAx>
        <c:axId val="125724763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accent3">
                  <a:lumMod val="40000"/>
                  <a:lumOff val="60000"/>
                  <a:alpha val="53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Verstärkung/Gain [dB]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57249295"/>
        <c:crosses val="autoZero"/>
        <c:crossBetween val="midCat"/>
      </c:valAx>
      <c:valAx>
        <c:axId val="1047033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Phasenverschiebung</a:t>
                </a:r>
                <a:r>
                  <a:rPr lang="de-DE" baseline="0"/>
                  <a:t> [°]</a:t>
                </a:r>
                <a:endParaRPr lang="de-DE"/>
              </a:p>
            </c:rich>
          </c:tx>
          <c:layout>
            <c:manualLayout>
              <c:xMode val="edge"/>
              <c:yMode val="edge"/>
              <c:x val="0.9597068674389867"/>
              <c:y val="0.423656371356677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27767935"/>
        <c:crossBetween val="midCat"/>
        <c:majorUnit val="5"/>
      </c:valAx>
      <c:valAx>
        <c:axId val="927767935"/>
        <c:scaling>
          <c:logBase val="10"/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7033295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323849</xdr:colOff>
      <xdr:row>25</xdr:row>
      <xdr:rowOff>4761</xdr:rowOff>
    </xdr:from>
    <xdr:to>
      <xdr:col>15</xdr:col>
      <xdr:colOff>323850</xdr:colOff>
      <xdr:row>56</xdr:row>
      <xdr:rowOff>9525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62F6471-EEFF-455C-8D9D-542061534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6519A-1013-4D57-AE5B-1788D389EAA2}">
  <dimension ref="A2:M21"/>
  <sheetViews>
    <sheetView tabSelected="1" topLeftCell="A22" workbookViewId="0">
      <selection activeCell="R37" sqref="R37"/>
    </sheetView>
  </sheetViews>
  <sheetFormatPr baseColWidth="10" defaultRowHeight="15" x14ac:dyDescent="0.25"/>
  <cols>
    <col min="1" max="1" width="7.28515625" customWidth="1"/>
    <col min="2" max="2" width="9.42578125" customWidth="1"/>
    <col min="3" max="3" width="9.28515625" customWidth="1"/>
    <col min="4" max="4" width="12.7109375" bestFit="1" customWidth="1"/>
    <col min="5" max="5" width="14.28515625" bestFit="1" customWidth="1"/>
    <col min="6" max="6" width="9.5703125" customWidth="1"/>
    <col min="7" max="7" width="7.140625" customWidth="1"/>
    <col min="8" max="8" width="13.5703125" bestFit="1" customWidth="1"/>
  </cols>
  <sheetData>
    <row r="2" spans="1:13" x14ac:dyDescent="0.25">
      <c r="A2" t="s">
        <v>2</v>
      </c>
      <c r="B2" t="s">
        <v>3</v>
      </c>
      <c r="C2" t="s">
        <v>4</v>
      </c>
      <c r="D2" t="s">
        <v>0</v>
      </c>
      <c r="E2" t="s">
        <v>1</v>
      </c>
      <c r="F2" t="s">
        <v>5</v>
      </c>
      <c r="G2" t="s">
        <v>6</v>
      </c>
      <c r="H2" t="s">
        <v>7</v>
      </c>
    </row>
    <row r="3" spans="1:13" x14ac:dyDescent="0.25">
      <c r="A3">
        <v>0</v>
      </c>
      <c r="B3">
        <v>0</v>
      </c>
      <c r="C3">
        <f t="shared" ref="C3:C21" si="0">B3*360*A3</f>
        <v>0</v>
      </c>
      <c r="D3">
        <v>101.46</v>
      </c>
      <c r="E3">
        <v>767.18</v>
      </c>
      <c r="F3" s="2">
        <f t="shared" ref="F3" si="1">20*LOG10(D3/E3)</f>
        <v>-17.572048289764805</v>
      </c>
      <c r="G3" s="2">
        <f>E3/D3</f>
        <v>7.5614035087719298</v>
      </c>
      <c r="H3" s="2">
        <f>F$3-F3</f>
        <v>0</v>
      </c>
      <c r="M3" s="2">
        <f>F13-F9</f>
        <v>3.9141884715886786</v>
      </c>
    </row>
    <row r="4" spans="1:13" x14ac:dyDescent="0.25">
      <c r="A4">
        <v>0.2</v>
      </c>
      <c r="B4" s="1">
        <v>-2.41E-2</v>
      </c>
      <c r="C4">
        <f t="shared" si="0"/>
        <v>-1.7352000000000001</v>
      </c>
      <c r="D4">
        <v>99.65</v>
      </c>
      <c r="E4">
        <v>771.3</v>
      </c>
      <c r="F4" s="2">
        <f t="shared" ref="F4:F21" si="2">20*LOG10(D4/E4)</f>
        <v>-17.774920566520333</v>
      </c>
      <c r="G4" s="2">
        <f>E4/D4</f>
        <v>7.7400903161063717</v>
      </c>
      <c r="H4" s="2">
        <f t="shared" ref="H4:H21" si="3">F$3-F4</f>
        <v>0.20287227675552799</v>
      </c>
      <c r="M4" s="2">
        <f>F3-F9</f>
        <v>-2.5472196675682355</v>
      </c>
    </row>
    <row r="5" spans="1:13" x14ac:dyDescent="0.25">
      <c r="A5">
        <v>10</v>
      </c>
      <c r="B5" s="1">
        <v>-8.7799999999999998E-4</v>
      </c>
      <c r="C5">
        <f t="shared" si="0"/>
        <v>-3.1607999999999996</v>
      </c>
      <c r="D5">
        <v>99.88</v>
      </c>
      <c r="E5">
        <v>771.4</v>
      </c>
      <c r="F5" s="2">
        <f t="shared" si="2"/>
        <v>-17.75602201701426</v>
      </c>
      <c r="G5" s="2">
        <f>E5/D5</f>
        <v>7.7232679215058067</v>
      </c>
      <c r="H5" s="2">
        <f t="shared" si="3"/>
        <v>0.18397372724945527</v>
      </c>
      <c r="M5" s="2">
        <f>F16-F13</f>
        <v>5.7129010926313377</v>
      </c>
    </row>
    <row r="6" spans="1:13" x14ac:dyDescent="0.25">
      <c r="A6">
        <v>100</v>
      </c>
      <c r="B6" s="1">
        <v>-2.2900000000000001E-4</v>
      </c>
      <c r="C6">
        <f t="shared" si="0"/>
        <v>-8.2439999999999998</v>
      </c>
      <c r="D6">
        <v>97.954999999999998</v>
      </c>
      <c r="E6">
        <v>763.5</v>
      </c>
      <c r="F6" s="2">
        <f t="shared" si="2"/>
        <v>-17.835648648699053</v>
      </c>
      <c r="G6" s="2">
        <f>E6/D6</f>
        <v>7.7943953856362613</v>
      </c>
      <c r="H6" s="2">
        <f t="shared" si="3"/>
        <v>0.26360035893424794</v>
      </c>
    </row>
    <row r="7" spans="1:13" x14ac:dyDescent="0.25">
      <c r="A7">
        <v>300</v>
      </c>
      <c r="B7" s="1">
        <v>-1.3300000000000001E-4</v>
      </c>
      <c r="C7">
        <f t="shared" si="0"/>
        <v>-14.364000000000003</v>
      </c>
      <c r="D7">
        <v>97.02</v>
      </c>
      <c r="E7">
        <v>733.2</v>
      </c>
      <c r="F7" s="2">
        <f t="shared" si="2"/>
        <v>-17.567223720002687</v>
      </c>
      <c r="G7" s="2">
        <f t="shared" ref="G7:G21" si="4">E7/D7</f>
        <v>7.5572047000618436</v>
      </c>
      <c r="H7" s="2">
        <f t="shared" si="3"/>
        <v>-4.8245697621176475E-3</v>
      </c>
    </row>
    <row r="8" spans="1:13" x14ac:dyDescent="0.25">
      <c r="A8">
        <v>700</v>
      </c>
      <c r="B8" s="1">
        <v>-1.4200000000000001E-4</v>
      </c>
      <c r="C8">
        <f t="shared" si="0"/>
        <v>-35.784000000000006</v>
      </c>
      <c r="D8">
        <v>93.3</v>
      </c>
      <c r="E8">
        <v>633</v>
      </c>
      <c r="F8" s="2">
        <f t="shared" si="2"/>
        <v>-16.630441325417102</v>
      </c>
      <c r="G8" s="2">
        <f t="shared" si="4"/>
        <v>6.784565916398714</v>
      </c>
      <c r="H8" s="2">
        <f t="shared" si="3"/>
        <v>-0.9416069643477023</v>
      </c>
    </row>
    <row r="9" spans="1:13" x14ac:dyDescent="0.25">
      <c r="A9">
        <v>1000</v>
      </c>
      <c r="B9" s="1">
        <v>-1.26E-4</v>
      </c>
      <c r="C9">
        <f t="shared" si="0"/>
        <v>-45.36</v>
      </c>
      <c r="D9">
        <v>96.48</v>
      </c>
      <c r="E9">
        <v>544.1</v>
      </c>
      <c r="F9" s="2">
        <f t="shared" si="2"/>
        <v>-15.024828622196569</v>
      </c>
      <c r="G9" s="2">
        <f t="shared" si="4"/>
        <v>5.6395107794361525</v>
      </c>
      <c r="H9" s="2">
        <f t="shared" si="3"/>
        <v>-2.5472196675682355</v>
      </c>
    </row>
    <row r="10" spans="1:13" x14ac:dyDescent="0.25">
      <c r="A10" s="3">
        <v>1150</v>
      </c>
      <c r="B10" s="4">
        <f>(B9+B11)/2</f>
        <v>-1.1899999999999999E-4</v>
      </c>
      <c r="C10" s="3">
        <f t="shared" si="0"/>
        <v>-49.265999999999998</v>
      </c>
      <c r="D10" s="3">
        <f>(D9+D11)/2</f>
        <v>96.245000000000005</v>
      </c>
      <c r="E10" s="3">
        <f>(E9+E11)/2</f>
        <v>507.70000000000005</v>
      </c>
      <c r="F10" s="5">
        <f t="shared" si="2"/>
        <v>-14.444579731247746</v>
      </c>
      <c r="G10" s="5">
        <f t="shared" ref="G10" si="5">E10/D10</f>
        <v>5.2750792248947995</v>
      </c>
      <c r="H10" s="5">
        <f t="shared" ref="H10" si="6">F$3-F10</f>
        <v>-3.1274685585170587</v>
      </c>
    </row>
    <row r="11" spans="1:13" x14ac:dyDescent="0.25">
      <c r="A11">
        <v>1300</v>
      </c>
      <c r="B11" s="1">
        <v>-1.12E-4</v>
      </c>
      <c r="C11">
        <f t="shared" si="0"/>
        <v>-52.416000000000004</v>
      </c>
      <c r="D11">
        <v>96.01</v>
      </c>
      <c r="E11">
        <v>471.3</v>
      </c>
      <c r="F11" s="2">
        <f t="shared" si="2"/>
        <v>-13.81961940135141</v>
      </c>
      <c r="G11" s="2">
        <f t="shared" si="4"/>
        <v>4.9088636600354132</v>
      </c>
      <c r="H11" s="2">
        <f t="shared" si="3"/>
        <v>-3.7524288884133945</v>
      </c>
    </row>
    <row r="12" spans="1:13" x14ac:dyDescent="0.25">
      <c r="A12">
        <v>1700</v>
      </c>
      <c r="B12" s="1">
        <v>-9.7999999999999997E-5</v>
      </c>
      <c r="C12">
        <f t="shared" si="0"/>
        <v>-59.975999999999999</v>
      </c>
      <c r="D12">
        <v>95.94</v>
      </c>
      <c r="E12">
        <v>390.4</v>
      </c>
      <c r="F12" s="2">
        <f t="shared" si="2"/>
        <v>-12.190201897295518</v>
      </c>
      <c r="G12" s="2">
        <f t="shared" si="4"/>
        <v>4.0692099228684597</v>
      </c>
      <c r="H12" s="2">
        <f t="shared" si="3"/>
        <v>-5.3818463924692868</v>
      </c>
    </row>
    <row r="13" spans="1:13" x14ac:dyDescent="0.25">
      <c r="A13">
        <v>2000</v>
      </c>
      <c r="B13" s="1">
        <v>-8.7999999999999998E-5</v>
      </c>
      <c r="C13">
        <f t="shared" si="0"/>
        <v>-63.36</v>
      </c>
      <c r="D13">
        <v>95.28</v>
      </c>
      <c r="E13">
        <v>342.4</v>
      </c>
      <c r="F13" s="2">
        <f t="shared" si="2"/>
        <v>-11.110640150607891</v>
      </c>
      <c r="G13" s="2">
        <f t="shared" si="4"/>
        <v>3.5936188077246007</v>
      </c>
      <c r="H13" s="2">
        <f t="shared" si="3"/>
        <v>-6.461408139156914</v>
      </c>
    </row>
    <row r="14" spans="1:13" x14ac:dyDescent="0.25">
      <c r="A14">
        <v>2500</v>
      </c>
      <c r="B14" s="1">
        <v>-7.6000000000000004E-5</v>
      </c>
      <c r="C14">
        <f t="shared" si="0"/>
        <v>-68.400000000000006</v>
      </c>
      <c r="D14">
        <v>95.27</v>
      </c>
      <c r="E14">
        <v>281.58</v>
      </c>
      <c r="F14" s="2">
        <f t="shared" si="2"/>
        <v>-9.4129127875709369</v>
      </c>
      <c r="G14" s="2">
        <f t="shared" si="4"/>
        <v>2.9555998740421958</v>
      </c>
      <c r="H14" s="2">
        <f t="shared" si="3"/>
        <v>-8.1591355021938679</v>
      </c>
    </row>
    <row r="15" spans="1:13" x14ac:dyDescent="0.25">
      <c r="A15">
        <v>3000</v>
      </c>
      <c r="B15" s="1">
        <v>-6.8899999999999994E-5</v>
      </c>
      <c r="C15">
        <f t="shared" si="0"/>
        <v>-74.411999999999992</v>
      </c>
      <c r="D15">
        <v>95.65</v>
      </c>
      <c r="E15">
        <v>237.53</v>
      </c>
      <c r="F15" s="2">
        <f t="shared" si="2"/>
        <v>-7.9006698876695305</v>
      </c>
      <c r="G15" s="2">
        <f t="shared" si="4"/>
        <v>2.483324621014114</v>
      </c>
      <c r="H15" s="2">
        <f t="shared" si="3"/>
        <v>-9.6713784020952751</v>
      </c>
    </row>
    <row r="16" spans="1:13" x14ac:dyDescent="0.25">
      <c r="A16">
        <v>4000</v>
      </c>
      <c r="B16" s="1">
        <v>-5.2599999999999998E-5</v>
      </c>
      <c r="C16">
        <f t="shared" si="0"/>
        <v>-75.743999999999986</v>
      </c>
      <c r="D16">
        <v>96.1</v>
      </c>
      <c r="E16">
        <v>178.9</v>
      </c>
      <c r="F16" s="2">
        <f t="shared" si="2"/>
        <v>-5.397739057976553</v>
      </c>
      <c r="G16" s="2">
        <f t="shared" si="4"/>
        <v>1.8616024973985434</v>
      </c>
      <c r="H16" s="2">
        <f t="shared" si="3"/>
        <v>-12.174309231788252</v>
      </c>
    </row>
    <row r="17" spans="1:8" x14ac:dyDescent="0.25">
      <c r="A17">
        <v>5000</v>
      </c>
      <c r="B17" s="1">
        <v>-4.3900000000000003E-5</v>
      </c>
      <c r="C17">
        <f t="shared" si="0"/>
        <v>-79.02000000000001</v>
      </c>
      <c r="D17">
        <v>95.21</v>
      </c>
      <c r="E17">
        <v>140.18</v>
      </c>
      <c r="F17" s="2">
        <f t="shared" si="2"/>
        <v>-3.3600698098116211</v>
      </c>
      <c r="G17" s="2">
        <f t="shared" si="4"/>
        <v>1.4723243356790254</v>
      </c>
      <c r="H17" s="2">
        <f t="shared" si="3"/>
        <v>-14.211978479953183</v>
      </c>
    </row>
    <row r="18" spans="1:8" x14ac:dyDescent="0.25">
      <c r="A18">
        <v>7000</v>
      </c>
      <c r="B18" s="1">
        <v>-3.5500000000000002E-5</v>
      </c>
      <c r="C18">
        <f t="shared" si="0"/>
        <v>-89.460000000000008</v>
      </c>
      <c r="D18">
        <v>96.03</v>
      </c>
      <c r="E18">
        <v>95.57</v>
      </c>
      <c r="F18" s="2">
        <f t="shared" si="2"/>
        <v>4.1706857100767998E-2</v>
      </c>
      <c r="G18" s="2">
        <f t="shared" si="4"/>
        <v>0.99520983026137655</v>
      </c>
      <c r="H18" s="2">
        <f t="shared" si="3"/>
        <v>-17.613755146865572</v>
      </c>
    </row>
    <row r="19" spans="1:8" x14ac:dyDescent="0.25">
      <c r="A19">
        <v>9000</v>
      </c>
      <c r="B19" s="1">
        <v>-2.6800000000000001E-5</v>
      </c>
      <c r="C19">
        <f t="shared" si="0"/>
        <v>-86.832000000000008</v>
      </c>
      <c r="D19">
        <v>96.46</v>
      </c>
      <c r="E19">
        <v>63.95</v>
      </c>
      <c r="F19" s="2">
        <f t="shared" si="2"/>
        <v>3.5701341754238207</v>
      </c>
      <c r="G19" s="2">
        <f t="shared" si="4"/>
        <v>0.66296910636533291</v>
      </c>
      <c r="H19" s="2">
        <f t="shared" si="3"/>
        <v>-21.142182465188625</v>
      </c>
    </row>
    <row r="20" spans="1:8" x14ac:dyDescent="0.25">
      <c r="A20">
        <v>10000</v>
      </c>
      <c r="B20" s="1">
        <v>-2.5299999999999998E-5</v>
      </c>
      <c r="C20">
        <f t="shared" si="0"/>
        <v>-91.08</v>
      </c>
      <c r="D20">
        <v>96.13</v>
      </c>
      <c r="E20">
        <v>62.33</v>
      </c>
      <c r="F20" s="2">
        <f t="shared" si="2"/>
        <v>3.7632363084015323</v>
      </c>
      <c r="G20" s="2">
        <f t="shared" si="4"/>
        <v>0.64839280141475086</v>
      </c>
      <c r="H20" s="2">
        <f t="shared" si="3"/>
        <v>-21.335284598166336</v>
      </c>
    </row>
    <row r="21" spans="1:8" x14ac:dyDescent="0.25">
      <c r="A21">
        <v>12000</v>
      </c>
      <c r="B21" s="1">
        <v>-3.9400000000000002E-5</v>
      </c>
      <c r="C21">
        <f t="shared" si="0"/>
        <v>-170.208</v>
      </c>
      <c r="D21">
        <v>94.28</v>
      </c>
      <c r="E21">
        <v>16.8</v>
      </c>
      <c r="F21" s="2">
        <f t="shared" si="2"/>
        <v>14.982205842528465</v>
      </c>
      <c r="G21" s="2">
        <f t="shared" si="4"/>
        <v>0.17819261773440814</v>
      </c>
      <c r="H21" s="2">
        <f t="shared" si="3"/>
        <v>-32.554254132293266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Geuze Michael</dc:creator>
  <cp:lastModifiedBy>GEUZE Michael</cp:lastModifiedBy>
  <dcterms:created xsi:type="dcterms:W3CDTF">2022-01-29T14:34:19Z</dcterms:created>
  <dcterms:modified xsi:type="dcterms:W3CDTF">2022-01-30T23:48:22Z</dcterms:modified>
</cp:coreProperties>
</file>